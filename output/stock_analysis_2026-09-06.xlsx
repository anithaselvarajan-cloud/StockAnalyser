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. Summary" sheetId="1" state="visible" r:id="rId3"/>
    <sheet name="1. Actual Values" sheetId="2" state="visible" r:id="rId4"/>
    <sheet name="2. Parameter Sc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<sst xmlns="http://schemas.openxmlformats.org/spreadsheetml/2006/main" count="333" uniqueCount="212">
  <si>
    <t xml:space="preserve">Stock Analysis Summary</t>
  </si>
  <si>
    <t xml:space="preserve">Review Date: 2026-09-06</t>
  </si>
  <si>
    <t xml:space="preserve">Research mode: Internet search</t>
  </si>
  <si>
    <t xml:space="preserve">Ticker</t>
  </si>
  <si>
    <t xml:space="preserve">Company</t>
  </si>
  <si>
    <t xml:space="preserve">State</t>
  </si>
  <si>
    <t xml:space="preserve">Technical</t>
  </si>
  <si>
    <t xml:space="preserve">Fundamental</t>
  </si>
  <si>
    <t xml:space="preserve">Sentiment</t>
  </si>
  <si>
    <t xml:space="preserve">Overall Score</t>
  </si>
  <si>
    <t xml:space="preserve">Decision</t>
  </si>
  <si>
    <t xml:space="preserve">Previous Decision</t>
  </si>
  <si>
    <t xml:space="preserve">Review Date</t>
  </si>
  <si>
    <t xml:space="preserve">NVDA</t>
  </si>
  <si>
    <t xml:space="preserve">Nvidia Corp</t>
  </si>
  <si>
    <t xml:space="preserve">No Position</t>
  </si>
  <si>
    <t xml:space="preserve">2026-09-06</t>
  </si>
  <si>
    <t xml:space="preserve">AAPL</t>
  </si>
  <si>
    <t xml:space="preserve">Apple Inc</t>
  </si>
  <si>
    <t xml:space="preserve">GOOGL</t>
  </si>
  <si>
    <t xml:space="preserve">Alphabet Inc Class A</t>
  </si>
  <si>
    <t xml:space="preserve">MSFT</t>
  </si>
  <si>
    <t xml:space="preserve">Microsoft Corp</t>
  </si>
  <si>
    <t xml:space="preserve">AMZN</t>
  </si>
  <si>
    <t xml:space="preserve">Amazon.com Inc</t>
  </si>
  <si>
    <t xml:space="preserve">TSM</t>
  </si>
  <si>
    <t xml:space="preserve">Taiwan Semiconductor Mfg (ADR)</t>
  </si>
  <si>
    <t xml:space="preserve">SPCX</t>
  </si>
  <si>
    <t xml:space="preserve">Space Exploration Technologies Cl A</t>
  </si>
  <si>
    <t xml:space="preserve">AVGO</t>
  </si>
  <si>
    <t xml:space="preserve">Broadcom Inc</t>
  </si>
  <si>
    <t xml:space="preserve">META</t>
  </si>
  <si>
    <t xml:space="preserve">Meta Platforms Inc</t>
  </si>
  <si>
    <t xml:space="preserve">TSLA</t>
  </si>
  <si>
    <t xml:space="preserve">Tesla Inc</t>
  </si>
  <si>
    <t xml:space="preserve">Notes:</t>
  </si>
  <si>
    <t xml:space="preserve">- SPCX (SpaceX) is privately held / not a traditional publicly-traded equity as of this framework's creation; Agents 2-4 should verify current tradability status and flag heavily-null categories accordingly rather than fabricating market data.</t>
  </si>
  <si>
    <t xml:space="preserve">- Weights and thresholds are configurable here without touching any agent's logic.</t>
  </si>
  <si>
    <t xml:space="preserve">- All research agents must cite a source (URL/provider + access date, or filing reference) per parameter value; null values must include a one-line reason.</t>
  </si>
  <si>
    <t xml:space="preserve">Price vs 50-day MA</t>
  </si>
  <si>
    <t xml:space="preserve">Price vs 200-day MA</t>
  </si>
  <si>
    <t xml:space="preserve">RSI (14-day)</t>
  </si>
  <si>
    <t xml:space="preserve">Relative performance vs S&amp;P 500 (3-month)</t>
  </si>
  <si>
    <t xml:space="preserve">Volatility / Beta</t>
  </si>
  <si>
    <t xml:space="preserve">P/E ratio vs sector average</t>
  </si>
  <si>
    <t xml:space="preserve">Revenue growth (YoY, most recent quarter or TTM)</t>
  </si>
  <si>
    <t xml:space="preserve">Earnings growth (YoY)</t>
  </si>
  <si>
    <t xml:space="preserve">Profit margin (operating margin, most recent)</t>
  </si>
  <si>
    <t xml:space="preserve">Debt-to-equity ratio</t>
  </si>
  <si>
    <t xml:space="preserve">Analyst consensus rating</t>
  </si>
  <si>
    <t xml:space="preserve">Recent analyst rating changes (last 30 days)</t>
  </si>
  <si>
    <t xml:space="preserve">Recent news sentiment (last 30 days)</t>
  </si>
  <si>
    <t xml:space="preserve">Short interest (% of float)</t>
  </si>
  <si>
    <t xml:space="preserve">Insider buying/selling activity (last 90 days)</t>
  </si>
  <si>
    <t xml:space="preserve">Sources</t>
  </si>
  <si>
    <t xml:space="preserve">+2.8% ($230.36 vs $224.03)</t>
  </si>
  <si>
    <t xml:space="preserve">+6.3% ($230.36 vs $216.67)</t>
  </si>
  <si>
    <t xml:space="preserve">58.3</t>
  </si>
  <si>
    <t xml:space="preserve">NVDA +19.6% vs S&amp;P 500 ~+1-2% -&gt; outperformance ~18-20pp</t>
  </si>
  <si>
    <t xml:space="preserve">2.22</t>
  </si>
  <si>
    <t xml:space="preserve">Trailing P/E 29.13 vs sector avg ~30-35 (roughly in-line to slightly below)</t>
  </si>
  <si>
    <t xml:space="preserve">TTM revenue growth +83.4% YoY</t>
  </si>
  <si>
    <t xml:space="preserve">TTM EPS growth +125.3% YoY</t>
  </si>
  <si>
    <t xml:space="preserve">Operating margin 65.2%</t>
  </si>
  <si>
    <t xml:space="preserve">D/E 0.17</t>
  </si>
  <si>
    <t xml:space="preserve">Strong Buy - 60 analysts: 48 Strong Buy, 9 Buy, 2 Hold, 1 Strong Sell; avg PT $325.99 (+41.5% upside)</t>
  </si>
  <si>
    <t xml:space="preserve">Minor shift in Aug 2026, broadly no material net downgrades</t>
  </si>
  <si>
    <t xml:space="preserve">Mixed-to-positive: early-Aug AI sell-off, Jensen Huang urged buying the discount, Morgan Stanley bullish ahead of earnings</t>
  </si>
  <si>
    <t xml:space="preserve">1.23% of float</t>
  </si>
  <si>
    <t xml:space="preserve">Notable net insider selling: ~$3.3B in executive stock sales reported</t>
  </si>
  <si>
    <t xml:space="preserve">Investing.com Technical Analysis, accessed 2026-09-06; Kresmion Research, TECHi, accessed 2026-09-06; StockAnalysis.com, accessed 2026-09-06; StockAnalysis.com; FRED S&amp;P 500, accessed 2026-09-06; The Motley Fool, itiger.com, accessed 2026-09-06; fintel.io/ss/us/nvda, accessed 2026-09-06; stockanalysis.com/stocks/nvda/financials, accessed 2026-09-06; stockanalysis.com/stocks/nvda/forecast, accessed 2026-09-06; stockanalysis.com/stocks/nvda/statistics, accessed 2026-09-06</t>
  </si>
  <si>
    <t xml:space="preserve">-0.3% ($319.97 vs $321.06)</t>
  </si>
  <si>
    <t xml:space="preserve">+1.8% ($319.97 vs $314.37)</t>
  </si>
  <si>
    <t xml:space="preserve">41.96</t>
  </si>
  <si>
    <t xml:space="preserve">AAPL +12.8% vs S&amp;P 500 ~+1-2% -&gt; outperform ~11pp</t>
  </si>
  <si>
    <t xml:space="preserve">1.09</t>
  </si>
  <si>
    <t xml:space="preserve">Trailing P/E 36.71 vs sector avg ~30 (roughly 20% above)</t>
  </si>
  <si>
    <t xml:space="preserve">TTM revenue growth +14.2% YoY</t>
  </si>
  <si>
    <t xml:space="preserve">TTM EPS growth +32.6% YoY</t>
  </si>
  <si>
    <t xml:space="preserve">Operating margin 33.2%</t>
  </si>
  <si>
    <t xml:space="preserve">D/E 0.78</t>
  </si>
  <si>
    <t xml:space="preserve">Buy - 44 analysts: 19 Strong Buy, 6 Buy, 13 Hold, 3 Sell, 3 Strong Sell; avg PT $324.53 (+1.4% upside)</t>
  </si>
  <si>
    <t xml:space="preserve">Net negative drift: Strong Buy fell 25-&gt;19; Sell/Strong Sell rose; UBS reaffirmed Neutral $280</t>
  </si>
  <si>
    <t xml:space="preserve">Mixed: rising into Sept 9 foldable iPhone event/CEO speculation, but some flag weak sentiment into earnings</t>
  </si>
  <si>
    <t xml:space="preserve">0.80% of float</t>
  </si>
  <si>
    <t xml:space="preserve">Routine insider selling (10b5-1 plans), no notable buying</t>
  </si>
  <si>
    <t xml:space="preserve">GuruFocus, StockTitan, accessed 2026-09-06; Investing.com Technical Analysis, accessed 2026-09-06; Invezz, TipRanks, SeekingAlpha, accessed 2026-09-06; StockAnalysis.com, accessed 2026-09-06; StockAnalysis.com; FRED S&amp;P 500, accessed 2026-09-06; fintel.io/ss/us/aapl, accessed 2026-09-06; stockanalysis.com/stocks/aapl/financials, accessed 2026-09-06; stockanalysis.com/stocks/aapl/forecast, accessed 2026-09-06; stockanalysis.com/stocks/aapl/statistics, accessed 2026-09-06; stockanalysis.com; Yahoo Finance, accessed 2026-09-06; stockanalysis.com; gurufocus.com, accessed 2026-09-06</t>
  </si>
  <si>
    <t xml:space="preserve">-0.46% ($338.46 vs $340.02)</t>
  </si>
  <si>
    <t xml:space="preserve">-2.5% ($338.46 vs $347.20)</t>
  </si>
  <si>
    <t xml:space="preserve">45.5</t>
  </si>
  <si>
    <t xml:space="preserve">GOOGL +0.3% vs S&amp;P 500 ~+1-2% -&gt; roughly in line</t>
  </si>
  <si>
    <t xml:space="preserve">1.22</t>
  </si>
  <si>
    <t xml:space="preserve">Trailing P/E 16.98 vs sector avg ~30 (40%+ below, profitable)</t>
  </si>
  <si>
    <t xml:space="preserve">TTM revenue growth +20.1% YoY</t>
  </si>
  <si>
    <t xml:space="preserve">TTM EPS growth +112.5% YoY</t>
  </si>
  <si>
    <t xml:space="preserve">Operating margin 33.1%</t>
  </si>
  <si>
    <t xml:space="preserve">D/E 0.19</t>
  </si>
  <si>
    <t xml:space="preserve">Strong Buy - 64 analysts: 46 Strong Buy, 13 Buy, 5 Hold; avg PT $428.07 (+26.5% upside)</t>
  </si>
  <si>
    <t xml:space="preserve">Continued bullish reiterations from Rosenblatt, Morgan Stanley; no significant downgrades</t>
  </si>
  <si>
    <t xml:space="preserve">Positive: Gemini 3.8 launch, antitrust court win, renewed AI momentum</t>
  </si>
  <si>
    <t xml:space="preserve">1.35% of float</t>
  </si>
  <si>
    <t xml:space="preserve">Routine/mixed insider selling, no notable buying, no scandal</t>
  </si>
  <si>
    <t xml:space="preserve">CNBC, ad-hoc-news.de, accessed 2026-09-06; Investing.com Technical Analysis, accessed 2026-09-06; MarketBeat, GuruFocus, accessed 2026-09-06; StockAnalysis.com, accessed 2026-09-06; StockAnalysis.com; FRED S&amp;P 500, accessed 2026-09-06; fintel.io/ss/us/googl, accessed 2026-09-06; stockanalysis.com/stocks/googl/financials, accessed 2026-09-06; stockanalysis.com/stocks/googl/forecast, accessed 2026-09-06; stockanalysis.com/stocks/googl/statistics, accessed 2026-09-06</t>
  </si>
  <si>
    <t xml:space="preserve">-1.1% ($499.70 vs $505.31)</t>
  </si>
  <si>
    <t xml:space="preserve">+2.4% ($499.70 vs $487.87)</t>
  </si>
  <si>
    <t xml:space="preserve">42.7</t>
  </si>
  <si>
    <t xml:space="preserve">MSFT +34.0% vs S&amp;P 500 ~+1-2% -&gt; outperform &gt;15pp</t>
  </si>
  <si>
    <t xml:space="preserve">1.11</t>
  </si>
  <si>
    <t xml:space="preserve">Trailing P/E 27.84 vs sector avg ~30 (within +/-20%)</t>
  </si>
  <si>
    <t xml:space="preserve">FY2026 revenue growth +17.8% YoY</t>
  </si>
  <si>
    <t xml:space="preserve">FY2026 net income growth ~+31.3% YoY</t>
  </si>
  <si>
    <t xml:space="preserve">Operating margin 46.8%</t>
  </si>
  <si>
    <t xml:space="preserve">D/E 0.29</t>
  </si>
  <si>
    <t xml:space="preserve">Strong Buy - 55 analysts: 38 Strong Buy, 14 Buy, 3 Hold; avg PT $571.38 (+14.3% upside)</t>
  </si>
  <si>
    <t xml:space="preserve">Slight bearish drift, Strong Buy 43-&gt;38, still net bullish</t>
  </si>
  <si>
    <t xml:space="preserve">Mixed: strong AI/Azure growth but stock sliding on capex concerns</t>
  </si>
  <si>
    <t xml:space="preserve">0.92% of float</t>
  </si>
  <si>
    <t xml:space="preserve">Significant net insider selling: CEO Nadella sold $43.4M in stock</t>
  </si>
  <si>
    <t xml:space="preserve">Benzinga, Pluang, accessed 2026-09-06; Foreign Policy Journal, ad-hoc-news.de, accessed 2026-09-06; Investing.com Technical Analysis, accessed 2026-09-06; StockAnalysis.com, accessed 2026-09-06; StockAnalysis.com; FRED S&amp;P 500, accessed 2026-09-06; fintel.io/ss/us/msft, accessed 2026-09-06; stockanalysis.com/stocks/msft/financials, accessed 2026-09-06; stockanalysis.com/stocks/msft/forecast, accessed 2026-09-06; stockanalysis.com/stocks/msft/statistics, accessed 2026-09-06</t>
  </si>
  <si>
    <t xml:space="preserve">+0.14% ($258.51 vs $258.16)</t>
  </si>
  <si>
    <t xml:space="preserve">-1.5% ($258.51 vs $262.40)</t>
  </si>
  <si>
    <t xml:space="preserve">54.6</t>
  </si>
  <si>
    <t xml:space="preserve">AMZN +11.1% vs S&amp;P 500 ~+1-2% -&gt; outperform ~9-10pp</t>
  </si>
  <si>
    <t xml:space="preserve">1.44</t>
  </si>
  <si>
    <t xml:space="preserve">Trailing P/E 20.79 vs sector avg ~30 (roughly 30% below)</t>
  </si>
  <si>
    <t xml:space="preserve">TTM revenue growth +15.8% YoY</t>
  </si>
  <si>
    <t xml:space="preserve">TTM EPS/net income growth +89.7% YoY</t>
  </si>
  <si>
    <t xml:space="preserve">Operating margin 12.1%</t>
  </si>
  <si>
    <t xml:space="preserve">D/E 0.46</t>
  </si>
  <si>
    <t xml:space="preserve">Strong Buy - 61 analysts: 44 Strong Buy, 15 Buy, 2 Hold; avg PT $328.17 (+27.0% upside)</t>
  </si>
  <si>
    <t xml:space="preserve">Stable to slightly softer, still strongly bullish</t>
  </si>
  <si>
    <t xml:space="preserve">Positive: AWS surge, eyeing $3T valuation on AI/AWS growth</t>
  </si>
  <si>
    <t xml:space="preserve">0.95% of float</t>
  </si>
  <si>
    <t xml:space="preserve">Notable net insider selling: CEO Jassy sold shares multiple times, ~$15M+ total insider dumps</t>
  </si>
  <si>
    <t xml:space="preserve">Investing.com Technical Analysis, accessed 2026-09-06; Investing.com, MarketScreener, Yahoo Finance, accessed 2026-09-06; StockAnalysis.com, accessed 2026-09-06; StockAnalysis.com; FRED S&amp;P 500, accessed 2026-09-06; TradingPedia, Yahoo Finance, accessed 2026-09-06; fintel.io/ss/us/amzn, accessed 2026-09-06; stockanalysis.com/stocks/amzn/financials, accessed 2026-09-06; stockanalysis.com/stocks/amzn/forecast, accessed 2026-09-06; stockanalysis.com/stocks/amzn/statistics, accessed 2026-09-06</t>
  </si>
  <si>
    <t xml:space="preserve">+2.3% ($428.91 vs $419.10)</t>
  </si>
  <si>
    <t xml:space="preserve">+3.1% ($428.91 vs $416.15)</t>
  </si>
  <si>
    <t xml:space="preserve">70.9</t>
  </si>
  <si>
    <t xml:space="preserve">TSM -0.8% vs S&amp;P 500 ~+1-2% -&gt; slight underperform</t>
  </si>
  <si>
    <t xml:space="preserve">1.26</t>
  </si>
  <si>
    <t xml:space="preserve">Trailing P/E 28.35 vs sector avg ~30-35 (roughly in-line to slightly below)</t>
  </si>
  <si>
    <t xml:space="preserve">Q2 2026 revenue growth +36.1% YoY</t>
  </si>
  <si>
    <t xml:space="preserve">Q2 2026 EPS growth +77.4% YoY</t>
  </si>
  <si>
    <t xml:space="preserve">Operating margin 56.1%</t>
  </si>
  <si>
    <t xml:space="preserve">Strong Buy - 19 analysts: 12 Strong Buy, 6 Buy, 1 Hold; avg PT $554.45 (+29.3% upside)</t>
  </si>
  <si>
    <t xml:space="preserve">Positive: Stifel initiated Buy, BofA maintained Buy, strong analyst sentiment</t>
  </si>
  <si>
    <t xml:space="preserve">Positive: strong AI demand driving 2026 capex, some geopolitical risk headlines</t>
  </si>
  <si>
    <t xml:space="preserve">0.62% of float (declining trend)</t>
  </si>
  <si>
    <t xml:space="preserve">Notable net insider buying: multiple SVP/VP acquisitions reported</t>
  </si>
  <si>
    <t xml:space="preserve">Benzinga short interest data, accessed 2026-09-06; Investing.com Technical Analysis, accessed 2026-09-06; StockAnalysis.com, accessed 2026-09-06; StockAnalysis.com; FRED S&amp;P 500, accessed 2026-09-06; StockTitan SEC Form 4 filings, accessed 2026-09-06; Yahoo Finance, Benzinga, accessed 2026-09-06; stockanalysis.com/stocks/tsm/financials, accessed 2026-09-06; stockanalysis.com/stocks/tsm/forecast, accessed 2026-09-06; stockanalysis.com/stocks/tsm/statistics, accessed 2026-09-06; stockanalysis.com; Yahoo Finance, accessed 2026-09-06</t>
  </si>
  <si>
    <t xml:space="preserve">+3.0% ($147.95 vs $143.69)</t>
  </si>
  <si>
    <t xml:space="preserve">N/A</t>
  </si>
  <si>
    <t xml:space="preserve">56.7</t>
  </si>
  <si>
    <t xml:space="preserve">SPCX -3.4% vs S&amp;P 500 ~+1-2% -&gt; underperform, within -5% band</t>
  </si>
  <si>
    <t xml:space="preserve">Moderate Buy/Buy - mixed reports; MarketBeat: 2 Strong Buy/25 Buy/8 Hold/7 Sell across 42 reports; stockanalysis.com: 8 analysts all Buy, avg target ~$244</t>
  </si>
  <si>
    <t xml:space="preserve">Positive price-target raises: Oppenheimer $250-&gt;$280, Bernstein $239-&gt;$248</t>
  </si>
  <si>
    <t xml:space="preserve">Mixed/volatile: heavy short-seller battle, Musk warned shorts, stock rebounded ~40% off low; MarketBeat sentiment score below sector avg</t>
  </si>
  <si>
    <t xml:space="preserve">Conflicting reports: MarketBeat ~1.41%, but S3 Partners/Yahoo Finance cite 32-45% of float shorted amid a ~$25B short bet post-IPO</t>
  </si>
  <si>
    <t xml:space="preserve">MarketBeat: no open-market insider trades in 3 months; Form 4s show large IPO-related preferred-to-common conversions for Musk plus one ~$1.2M open-market sale</t>
  </si>
  <si>
    <t xml:space="preserve">CNBC, Invezz, MarketBeat, accessed 2026-09-06; Investing.com Technical Analysis, accessed 2026-09-06; Investing.com Technical Analysis, accessed 2026-09-06 -- insufficient trading history for a genuine 200-day MA; MarketBeat; StockTitan Form 4, accessed 2026-09-06; S3 Partners via CNBC/Yahoo Finance, Invezz, MarketBeat, accessed 2026-09-06 -- wide variance across sources; StockAnalysis.com, accessed 2026-09-06 -- beta not yet available; StockAnalysis.com; FRED S&amp;P 500, accessed 2026-09-06; marketbeat.com; stockanalysis.com/stocks/spcx/ratings, accessed 2026-09-06; stockanalysis.com/stocks/spcx/ratings, accessed 2026-09-06</t>
  </si>
  <si>
    <t xml:space="preserve">-1.8% ($357.90 vs $364.45)</t>
  </si>
  <si>
    <t xml:space="preserve">-7.1% ($357.90 vs $385.43)</t>
  </si>
  <si>
    <t xml:space="preserve">47.2</t>
  </si>
  <si>
    <t xml:space="preserve">AVGO -1.95% vs S&amp;P 500 ~+1-2% -&gt; underperform, within -5% band</t>
  </si>
  <si>
    <t xml:space="preserve">1.46</t>
  </si>
  <si>
    <t xml:space="preserve">Trailing P/E 45.68 vs sector avg ~30-35 (roughly 30-50% above)</t>
  </si>
  <si>
    <t xml:space="preserve">Q3 2026 revenue growth +85.5% YoY</t>
  </si>
  <si>
    <t xml:space="preserve">Q3 2026 EPS growth +215.3% YoY</t>
  </si>
  <si>
    <t xml:space="preserve">Operating margin 48.6%</t>
  </si>
  <si>
    <t xml:space="preserve">D/E 0.60</t>
  </si>
  <si>
    <t xml:space="preserve">Strong Buy - 49 analysts: 37 Strong Buy, 8 Buy, 4 Hold; avg PT $533.41 (+49.0% upside)</t>
  </si>
  <si>
    <t xml:space="preserve">Positive price-target raises: Citi, Cantor Fitzgerald, Raymond James all raised targets, maintaining Buy</t>
  </si>
  <si>
    <t xml:space="preserve">Mixed: stock down ~19% since Q4 2025 results per one report, but bullish long-term AI-chip narrative persists</t>
  </si>
  <si>
    <t xml:space="preserve">1.20% of float</t>
  </si>
  <si>
    <t xml:space="preserve">Significant net insider selling: CEO Hock Tan sold $42.3M worth of shares</t>
  </si>
  <si>
    <t xml:space="preserve">Investing.com Technical Analysis, accessed 2026-09-06; StockAnalysis.com, accessed 2026-09-06; StockAnalysis.com; FRED S&amp;P 500, accessed 2026-09-06; Yahoo Finance, CNBC, accessed 2026-09-06; fintel.io/ss/us/avgo, accessed 2026-09-06; iTiger, TheStreet, Yahoo Finance, accessed 2026-09-06; stockanalysis.com/stocks/avgo/financials, accessed 2026-09-06; stockanalysis.com/stocks/avgo/forecast, accessed 2026-09-06; stockanalysis.com/stocks/avgo/statistics, accessed 2026-09-06</t>
  </si>
  <si>
    <t xml:space="preserve">+4.9% ($616.77 vs $588.21)</t>
  </si>
  <si>
    <t xml:space="preserve">+6.7% ($616.77 vs $577.83)</t>
  </si>
  <si>
    <t xml:space="preserve">67</t>
  </si>
  <si>
    <t xml:space="preserve">META +12.1% vs S&amp;P 500 ~+1-2% -&gt; outperform ~10-11pp</t>
  </si>
  <si>
    <t xml:space="preserve">1.24</t>
  </si>
  <si>
    <t xml:space="preserve">Trailing P/E 23.24 vs sector avg ~30 (roughly 20-25% below)</t>
  </si>
  <si>
    <t xml:space="preserve">Q2 2026 revenue growth +28.0% YoY</t>
  </si>
  <si>
    <t xml:space="preserve">Q2 2026 net income/EPS declined -13.4% YoY</t>
  </si>
  <si>
    <t xml:space="preserve">Operating margin 38.1%</t>
  </si>
  <si>
    <t xml:space="preserve">D/E 0.43</t>
  </si>
  <si>
    <t xml:space="preserve">Strong Buy - 62 analysts: 47 Strong Buy, 8 Buy, 7 Hold; avg PT $754.77 (+22.4% upside)</t>
  </si>
  <si>
    <t xml:space="preserve">Stable, mostly reiterations from BofA, Goldman Sachs, Wedbush</t>
  </si>
  <si>
    <t xml:space="preserve">Mixed: pressured by high AI capex concerns, some bullish catalysts noted</t>
  </si>
  <si>
    <t xml:space="preserve">1.27% of float</t>
  </si>
  <si>
    <t xml:space="preserve">Notable net insider selling: ~$48M of shares sold suggesting hesitancy</t>
  </si>
  <si>
    <t xml:space="preserve">Investing.com Technical Analysis, accessed 2026-09-06; Morningstar, Fortune, 247wallst.com, accessed 2026-09-06; StockAnalysis.com, accessed 2026-09-06; StockAnalysis.com; FRED S&amp;P 500, accessed 2026-09-06; Yahoo Finance (Simply Wall St), StockTitan, accessed 2026-09-06; fintel.io/ss/us/meta, accessed 2026-09-06; stockanalysis.com/stocks/meta/financials, accessed 2026-09-06; stockanalysis.com/stocks/meta/forecast, accessed 2026-09-06; stockanalysis.com/stocks/meta/statistics, accessed 2026-09-06</t>
  </si>
  <si>
    <t xml:space="preserve">-1.25% ($354.08 vs $358.55)</t>
  </si>
  <si>
    <t xml:space="preserve">+4.6% ($354.08 vs $338.58)</t>
  </si>
  <si>
    <t xml:space="preserve">42.1</t>
  </si>
  <si>
    <t xml:space="preserve">TSLA -6.75% vs S&amp;P 500 ~+1-2% -&gt; underperform ~8pp</t>
  </si>
  <si>
    <t xml:space="preserve">1.84</t>
  </si>
  <si>
    <t xml:space="preserve">Trailing P/E 367.43 vs sector avg ~20-30 (far more than 50% above)</t>
  </si>
  <si>
    <t xml:space="preserve">Q2 2026 revenue growth +25.5% YoY</t>
  </si>
  <si>
    <t xml:space="preserve">Q2 2026 net income declined -3.0% YoY</t>
  </si>
  <si>
    <t xml:space="preserve">Operating margin 4.13%</t>
  </si>
  <si>
    <t xml:space="preserve">D/E 0.18</t>
  </si>
  <si>
    <t xml:space="preserve">Buy - 46 analysts: 16 Strong Buy, 6 Buy, 19 Hold, 2 Sell, 3 Strong Sell; avg PT $390.09 (+10.2% upside)</t>
  </si>
  <si>
    <t xml:space="preserve">Slight net negative drift, mixed recent calls (JPMorgan Hold, RBC Buy, GLJ Sell)</t>
  </si>
  <si>
    <t xml:space="preserve">Mixed: strong Q3 delivery expectations vs Musk pay-package controversy and Cybertruck litigation</t>
  </si>
  <si>
    <t xml:space="preserve">2.29% of float</t>
  </si>
  <si>
    <t xml:space="preserve">Notable net insider selling: reports of ~$300M in planned sales</t>
  </si>
  <si>
    <t xml:space="preserve">Investing.com Technical Analysis, accessed 2026-09-06; StockAnalysis.com, accessed 2026-09-06; StockAnalysis.com; FRED S&amp;P 500, accessed 2026-09-06; TipRanks, accessed 2026-09-06; Yahoo Finance, Gulf News, Quartz, accessed 2026-09-06; fintel.io/ss/us/tsla, accessed 2026-09-06; stockanalysis.com/stocks/tsla/financials, accessed 2026-09-06; stockanalysis.com/stocks/tsla/forecast, accessed 2026-09-06; stockanalysis.com/stocks/tsla/statistics, accessed 2026-09-06</t>
  </si>
  <si>
    <t xml:space="preserve">Technical Score</t>
  </si>
  <si>
    <t xml:space="preserve">Fundamental Score</t>
  </si>
  <si>
    <t xml:space="preserve">Sentiment Score</t>
  </si>
  <si>
    <t xml:space="preserve">NO ACTION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</si>
</sst>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i val="true"/>
      <sz val="9"/>
      <name val="Arial"/>
      <family val="0"/>
      <charset val="1"/>
    </font>
    <font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6"/>
    <col collapsed="false" customWidth="true" hidden="false" outlineLevel="0" max="10" min="10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5" t="s">
        <v>14</v>
      </c>
      <c r="C6" s="5" t="s">
        <v>15</v>
      </c>
      <c r="D6" s="5" t="n">
        <f aca="false">'2. Parameter Scores'!R2</f>
        <v>5.8</v>
      </c>
      <c r="E6" s="5" t="n">
        <f aca="false">'2. Parameter Scores'!S2</f>
        <v>9.2</v>
      </c>
      <c r="F6" s="5" t="n">
        <f aca="false">'2. Parameter Scores'!T2</f>
        <v>6.8</v>
      </c>
      <c r="G6" s="4" t="n">
        <f aca="false">'2. Parameter Scores'!U2</f>
        <v>7.26662</v>
      </c>
      <c r="H6" s="6" t="str">
        <f aca="false">'2. Parameter Scores'!V2</f>
        <v>BUY</v>
      </c>
      <c r="I6" s="5"/>
      <c r="J6" s="5" t="s">
        <v>16</v>
      </c>
    </row>
    <row r="7" customFormat="false" ht="15" hidden="false" customHeight="false" outlineLevel="0" collapsed="false">
      <c r="A7" s="4" t="s">
        <v>17</v>
      </c>
      <c r="B7" s="5" t="s">
        <v>18</v>
      </c>
      <c r="C7" s="5" t="s">
        <v>15</v>
      </c>
      <c r="D7" s="5" t="n">
        <f aca="false">'2. Parameter Scores'!R3</f>
        <v>6.2</v>
      </c>
      <c r="E7" s="5" t="n">
        <f aca="false">'2. Parameter Scores'!S3</f>
        <v>6.6</v>
      </c>
      <c r="F7" s="5" t="n">
        <f aca="false">'2. Parameter Scores'!T3</f>
        <v>6.2</v>
      </c>
      <c r="G7" s="4" t="n">
        <f aca="false">'2. Parameter Scores'!U3</f>
        <v>6.33332</v>
      </c>
      <c r="H7" s="7" t="str">
        <f aca="false">'2. Parameter Scores'!V3</f>
        <v>HOLD</v>
      </c>
      <c r="I7" s="5"/>
      <c r="J7" s="5" t="s">
        <v>16</v>
      </c>
    </row>
    <row r="8" customFormat="false" ht="15" hidden="false" customHeight="false" outlineLevel="0" collapsed="false">
      <c r="A8" s="4" t="s">
        <v>19</v>
      </c>
      <c r="B8" s="5" t="s">
        <v>20</v>
      </c>
      <c r="C8" s="5" t="s">
        <v>15</v>
      </c>
      <c r="D8" s="5" t="n">
        <f aca="false">'2. Parameter Scores'!R4</f>
        <v>4.8</v>
      </c>
      <c r="E8" s="5" t="n">
        <f aca="false">'2. Parameter Scores'!S4</f>
        <v>9</v>
      </c>
      <c r="F8" s="5" t="n">
        <f aca="false">'2. Parameter Scores'!T4</f>
        <v>8.2</v>
      </c>
      <c r="G8" s="4" t="n">
        <f aca="false">'2. Parameter Scores'!U4</f>
        <v>7.33342</v>
      </c>
      <c r="H8" s="6" t="str">
        <f aca="false">'2. Parameter Scores'!V4</f>
        <v>BUY</v>
      </c>
      <c r="I8" s="5"/>
      <c r="J8" s="5" t="s">
        <v>16</v>
      </c>
    </row>
    <row r="9" customFormat="false" ht="15" hidden="false" customHeight="false" outlineLevel="0" collapsed="false">
      <c r="A9" s="4" t="s">
        <v>21</v>
      </c>
      <c r="B9" s="5" t="s">
        <v>22</v>
      </c>
      <c r="C9" s="5" t="s">
        <v>15</v>
      </c>
      <c r="D9" s="5" t="n">
        <f aca="false">'2. Parameter Scores'!R5</f>
        <v>6.8</v>
      </c>
      <c r="E9" s="5" t="n">
        <f aca="false">'2. Parameter Scores'!S5</f>
        <v>8.6</v>
      </c>
      <c r="F9" s="5" t="n">
        <f aca="false">'2. Parameter Scores'!T5</f>
        <v>6.8</v>
      </c>
      <c r="G9" s="4" t="n">
        <f aca="false">'2. Parameter Scores'!U5</f>
        <v>7.39994</v>
      </c>
      <c r="H9" s="6" t="str">
        <f aca="false">'2. Parameter Scores'!V5</f>
        <v>BUY</v>
      </c>
      <c r="I9" s="5"/>
      <c r="J9" s="5" t="s">
        <v>16</v>
      </c>
    </row>
    <row r="10" customFormat="false" ht="15" hidden="false" customHeight="false" outlineLevel="0" collapsed="false">
      <c r="A10" s="4" t="s">
        <v>23</v>
      </c>
      <c r="B10" s="5" t="s">
        <v>24</v>
      </c>
      <c r="C10" s="5" t="s">
        <v>15</v>
      </c>
      <c r="D10" s="5" t="n">
        <f aca="false">'2. Parameter Scores'!R6</f>
        <v>5.6</v>
      </c>
      <c r="E10" s="5" t="n">
        <f aca="false">'2. Parameter Scores'!S6</f>
        <v>7.6</v>
      </c>
      <c r="F10" s="5" t="n">
        <f aca="false">'2. Parameter Scores'!T6</f>
        <v>7.6</v>
      </c>
      <c r="G10" s="4" t="n">
        <f aca="false">'2. Parameter Scores'!U6</f>
        <v>6.9334</v>
      </c>
      <c r="H10" s="7" t="str">
        <f aca="false">'2. Parameter Scores'!V6</f>
        <v>HOLD</v>
      </c>
      <c r="I10" s="5"/>
      <c r="J10" s="5" t="s">
        <v>16</v>
      </c>
    </row>
    <row r="11" customFormat="false" ht="15" hidden="false" customHeight="false" outlineLevel="0" collapsed="false">
      <c r="A11" s="4" t="s">
        <v>25</v>
      </c>
      <c r="B11" s="5" t="s">
        <v>26</v>
      </c>
      <c r="C11" s="5" t="s">
        <v>15</v>
      </c>
      <c r="D11" s="5" t="n">
        <f aca="false">'2. Parameter Scores'!R7</f>
        <v>5</v>
      </c>
      <c r="E11" s="5" t="n">
        <f aca="false">'2. Parameter Scores'!S7</f>
        <v>9.2</v>
      </c>
      <c r="F11" s="5" t="n">
        <f aca="false">'2. Parameter Scores'!T7</f>
        <v>8.4</v>
      </c>
      <c r="G11" s="4" t="n">
        <f aca="false">'2. Parameter Scores'!U7</f>
        <v>7.53342</v>
      </c>
      <c r="H11" s="6" t="str">
        <f aca="false">'2. Parameter Scores'!V7</f>
        <v>BUY</v>
      </c>
      <c r="I11" s="5"/>
      <c r="J11" s="5" t="s">
        <v>16</v>
      </c>
    </row>
    <row r="12" customFormat="false" ht="15" hidden="false" customHeight="false" outlineLevel="0" collapsed="false">
      <c r="A12" s="4" t="s">
        <v>27</v>
      </c>
      <c r="B12" s="5" t="s">
        <v>28</v>
      </c>
      <c r="C12" s="5" t="s">
        <v>15</v>
      </c>
      <c r="D12" s="5" t="n">
        <f aca="false">'2. Parameter Scores'!R8</f>
        <v>5.66666666666667</v>
      </c>
      <c r="E12" s="5" t="str">
        <f aca="false">'2. Parameter Scores'!S8</f>
        <v>N/A</v>
      </c>
      <c r="F12" s="5" t="n">
        <f aca="false">'2. Parameter Scores'!T8</f>
        <v>4.8</v>
      </c>
      <c r="G12" s="4" t="str">
        <f aca="false">'2. Parameter Scores'!U8</f>
        <v>N/A</v>
      </c>
      <c r="H12" s="8" t="str">
        <f aca="false">'2. Parameter Scores'!V8</f>
        <v>NO ACTION</v>
      </c>
      <c r="I12" s="5"/>
      <c r="J12" s="5" t="s">
        <v>16</v>
      </c>
    </row>
    <row r="13" customFormat="false" ht="15" hidden="false" customHeight="false" outlineLevel="0" collapsed="false">
      <c r="A13" s="4" t="s">
        <v>29</v>
      </c>
      <c r="B13" s="5" t="s">
        <v>30</v>
      </c>
      <c r="C13" s="5" t="s">
        <v>15</v>
      </c>
      <c r="D13" s="5" t="n">
        <f aca="false">'2. Parameter Scores'!R9</f>
        <v>4.6</v>
      </c>
      <c r="E13" s="5" t="n">
        <f aca="false">'2. Parameter Scores'!S9</f>
        <v>8</v>
      </c>
      <c r="F13" s="5" t="n">
        <f aca="false">'2. Parameter Scores'!T9</f>
        <v>7.2</v>
      </c>
      <c r="G13" s="4" t="n">
        <f aca="false">'2. Parameter Scores'!U9</f>
        <v>6.60006</v>
      </c>
      <c r="H13" s="7" t="str">
        <f aca="false">'2. Parameter Scores'!V9</f>
        <v>HOLD</v>
      </c>
      <c r="I13" s="5"/>
      <c r="J13" s="5" t="s">
        <v>16</v>
      </c>
    </row>
    <row r="14" customFormat="false" ht="15" hidden="false" customHeight="false" outlineLevel="0" collapsed="false">
      <c r="A14" s="4" t="s">
        <v>31</v>
      </c>
      <c r="B14" s="5" t="s">
        <v>32</v>
      </c>
      <c r="C14" s="5" t="s">
        <v>15</v>
      </c>
      <c r="D14" s="5" t="n">
        <f aca="false">'2. Parameter Scores'!R10</f>
        <v>5.8</v>
      </c>
      <c r="E14" s="5" t="n">
        <f aca="false">'2. Parameter Scores'!S10</f>
        <v>7</v>
      </c>
      <c r="F14" s="5" t="n">
        <f aca="false">'2. Parameter Scores'!T10</f>
        <v>6.8</v>
      </c>
      <c r="G14" s="4" t="n">
        <f aca="false">'2. Parameter Scores'!U10</f>
        <v>6.53336</v>
      </c>
      <c r="H14" s="7" t="str">
        <f aca="false">'2. Parameter Scores'!V10</f>
        <v>HOLD</v>
      </c>
      <c r="I14" s="5"/>
      <c r="J14" s="5" t="s">
        <v>16</v>
      </c>
    </row>
    <row r="15" customFormat="false" ht="15" hidden="false" customHeight="false" outlineLevel="0" collapsed="false">
      <c r="A15" s="4" t="s">
        <v>33</v>
      </c>
      <c r="B15" s="5" t="s">
        <v>34</v>
      </c>
      <c r="C15" s="5" t="s">
        <v>15</v>
      </c>
      <c r="D15" s="5" t="n">
        <f aca="false">'2. Parameter Scores'!R11</f>
        <v>4.6</v>
      </c>
      <c r="E15" s="5" t="n">
        <f aca="false">'2. Parameter Scores'!S11</f>
        <v>4.4</v>
      </c>
      <c r="F15" s="5" t="n">
        <f aca="false">'2. Parameter Scores'!T11</f>
        <v>5.6</v>
      </c>
      <c r="G15" s="4" t="n">
        <f aca="false">'2. Parameter Scores'!U11</f>
        <v>4.86674</v>
      </c>
      <c r="H15" s="7" t="str">
        <f aca="false">'2. Parameter Scores'!V11</f>
        <v>HOLD</v>
      </c>
      <c r="I15" s="5"/>
      <c r="J15" s="5" t="s">
        <v>16</v>
      </c>
    </row>
    <row r="18" customFormat="false" ht="15" hidden="false" customHeight="false" outlineLevel="0" collapsed="false">
      <c r="A18" s="9" t="s">
        <v>35</v>
      </c>
    </row>
    <row r="19" customFormat="false" ht="15" hidden="false" customHeight="false" outlineLevel="0" collapsed="false">
      <c r="A19" s="10" t="s">
        <v>36</v>
      </c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15" hidden="false" customHeight="false" outlineLevel="0" collapsed="false">
      <c r="A20" s="10" t="s">
        <v>37</v>
      </c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15" hidden="false" customHeight="false" outlineLevel="0" collapsed="false">
      <c r="A21" s="10" t="s">
        <v>38</v>
      </c>
      <c r="B21" s="10"/>
      <c r="C21" s="10"/>
      <c r="D21" s="10"/>
      <c r="E21" s="10"/>
      <c r="F21" s="10"/>
      <c r="G21" s="10"/>
      <c r="H21" s="10"/>
      <c r="I21" s="10"/>
      <c r="J21" s="10"/>
    </row>
  </sheetData>
  <mergeCells count="3">
    <mergeCell ref="A19:J19"/>
    <mergeCell ref="A20:J20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18" min="4" style="0" width="24"/>
    <col collapsed="false" customWidth="true" hidden="false" outlineLevel="0" max="19" min="19" style="0" width="40"/>
    <col collapsed="false" customWidth="true" hidden="false" outlineLevel="0" max="20" min="20" style="0" width="13"/>
    <col collapsed="false" customWidth="true" hidden="false" outlineLevel="0" max="21" min="21" style="0" width="16"/>
  </cols>
  <sheetData>
    <row r="1" customFormat="false" ht="45" hidden="false" customHeight="true" outlineLevel="0" collapsed="false">
      <c r="A1" s="11" t="s">
        <v>3</v>
      </c>
      <c r="B1" s="11" t="s">
        <v>4</v>
      </c>
      <c r="C1" s="11" t="s">
        <v>5</v>
      </c>
      <c r="D1" s="11" t="s">
        <v>39</v>
      </c>
      <c r="E1" s="11" t="s">
        <v>40</v>
      </c>
      <c r="F1" s="11" t="s">
        <v>41</v>
      </c>
      <c r="G1" s="11" t="s">
        <v>42</v>
      </c>
      <c r="H1" s="11" t="s">
        <v>43</v>
      </c>
      <c r="I1" s="11" t="s">
        <v>44</v>
      </c>
      <c r="J1" s="11" t="s">
        <v>45</v>
      </c>
      <c r="K1" s="11" t="s">
        <v>46</v>
      </c>
      <c r="L1" s="11" t="s">
        <v>47</v>
      </c>
      <c r="M1" s="11" t="s">
        <v>48</v>
      </c>
      <c r="N1" s="11" t="s">
        <v>49</v>
      </c>
      <c r="O1" s="11" t="s">
        <v>50</v>
      </c>
      <c r="P1" s="11" t="s">
        <v>51</v>
      </c>
      <c r="Q1" s="11" t="s">
        <v>52</v>
      </c>
      <c r="R1" s="11" t="s">
        <v>53</v>
      </c>
      <c r="S1" s="11" t="s">
        <v>54</v>
      </c>
      <c r="T1" s="11" t="s">
        <v>12</v>
      </c>
      <c r="U1" s="11" t="s">
        <v>11</v>
      </c>
    </row>
    <row r="2" customFormat="false" ht="91" hidden="false" customHeight="false" outlineLevel="0" collapsed="false">
      <c r="A2" s="12" t="s">
        <v>13</v>
      </c>
      <c r="B2" s="13" t="s">
        <v>14</v>
      </c>
      <c r="C2" s="13" t="s">
        <v>15</v>
      </c>
      <c r="D2" s="13" t="s">
        <v>55</v>
      </c>
      <c r="E2" s="13" t="s">
        <v>56</v>
      </c>
      <c r="F2" s="13" t="s">
        <v>57</v>
      </c>
      <c r="G2" s="13" t="s">
        <v>58</v>
      </c>
      <c r="H2" s="13" t="s">
        <v>59</v>
      </c>
      <c r="I2" s="13" t="s">
        <v>60</v>
      </c>
      <c r="J2" s="13" t="s">
        <v>61</v>
      </c>
      <c r="K2" s="13" t="s">
        <v>62</v>
      </c>
      <c r="L2" s="13" t="s">
        <v>63</v>
      </c>
      <c r="M2" s="13" t="s">
        <v>64</v>
      </c>
      <c r="N2" s="13" t="s">
        <v>65</v>
      </c>
      <c r="O2" s="13" t="s">
        <v>66</v>
      </c>
      <c r="P2" s="13" t="s">
        <v>67</v>
      </c>
      <c r="Q2" s="13" t="s">
        <v>68</v>
      </c>
      <c r="R2" s="13" t="s">
        <v>69</v>
      </c>
      <c r="S2" s="14" t="s">
        <v>70</v>
      </c>
      <c r="T2" s="13" t="s">
        <v>16</v>
      </c>
      <c r="U2" s="13"/>
    </row>
    <row r="3" customFormat="false" ht="108.95" hidden="false" customHeight="false" outlineLevel="0" collapsed="false">
      <c r="A3" s="12" t="s">
        <v>17</v>
      </c>
      <c r="B3" s="13" t="s">
        <v>18</v>
      </c>
      <c r="C3" s="13" t="s">
        <v>15</v>
      </c>
      <c r="D3" s="13" t="s">
        <v>71</v>
      </c>
      <c r="E3" s="13" t="s">
        <v>72</v>
      </c>
      <c r="F3" s="13" t="s">
        <v>73</v>
      </c>
      <c r="G3" s="13" t="s">
        <v>74</v>
      </c>
      <c r="H3" s="13" t="s">
        <v>75</v>
      </c>
      <c r="I3" s="13" t="s">
        <v>76</v>
      </c>
      <c r="J3" s="13" t="s">
        <v>77</v>
      </c>
      <c r="K3" s="13" t="s">
        <v>78</v>
      </c>
      <c r="L3" s="13" t="s">
        <v>79</v>
      </c>
      <c r="M3" s="13" t="s">
        <v>80</v>
      </c>
      <c r="N3" s="13" t="s">
        <v>81</v>
      </c>
      <c r="O3" s="13" t="s">
        <v>82</v>
      </c>
      <c r="P3" s="13" t="s">
        <v>83</v>
      </c>
      <c r="Q3" s="13" t="s">
        <v>84</v>
      </c>
      <c r="R3" s="13" t="s">
        <v>85</v>
      </c>
      <c r="S3" s="14" t="s">
        <v>86</v>
      </c>
      <c r="T3" s="13" t="s">
        <v>16</v>
      </c>
      <c r="U3" s="13"/>
    </row>
    <row r="4" customFormat="false" ht="99.95" hidden="false" customHeight="false" outlineLevel="0" collapsed="false">
      <c r="A4" s="12" t="s">
        <v>19</v>
      </c>
      <c r="B4" s="13" t="s">
        <v>20</v>
      </c>
      <c r="C4" s="13" t="s">
        <v>15</v>
      </c>
      <c r="D4" s="13" t="s">
        <v>87</v>
      </c>
      <c r="E4" s="13" t="s">
        <v>88</v>
      </c>
      <c r="F4" s="13" t="s">
        <v>89</v>
      </c>
      <c r="G4" s="13" t="s">
        <v>90</v>
      </c>
      <c r="H4" s="13" t="s">
        <v>91</v>
      </c>
      <c r="I4" s="13" t="s">
        <v>92</v>
      </c>
      <c r="J4" s="13" t="s">
        <v>93</v>
      </c>
      <c r="K4" s="13" t="s">
        <v>94</v>
      </c>
      <c r="L4" s="13" t="s">
        <v>95</v>
      </c>
      <c r="M4" s="13" t="s">
        <v>96</v>
      </c>
      <c r="N4" s="13" t="s">
        <v>97</v>
      </c>
      <c r="O4" s="13" t="s">
        <v>98</v>
      </c>
      <c r="P4" s="13" t="s">
        <v>99</v>
      </c>
      <c r="Q4" s="13" t="s">
        <v>100</v>
      </c>
      <c r="R4" s="13" t="s">
        <v>101</v>
      </c>
      <c r="S4" s="14" t="s">
        <v>102</v>
      </c>
      <c r="T4" s="13" t="s">
        <v>16</v>
      </c>
      <c r="U4" s="13"/>
    </row>
    <row r="5" customFormat="false" ht="91" hidden="false" customHeight="false" outlineLevel="0" collapsed="false">
      <c r="A5" s="12" t="s">
        <v>21</v>
      </c>
      <c r="B5" s="13" t="s">
        <v>22</v>
      </c>
      <c r="C5" s="13" t="s">
        <v>15</v>
      </c>
      <c r="D5" s="13" t="s">
        <v>103</v>
      </c>
      <c r="E5" s="13" t="s">
        <v>104</v>
      </c>
      <c r="F5" s="13" t="s">
        <v>105</v>
      </c>
      <c r="G5" s="13" t="s">
        <v>106</v>
      </c>
      <c r="H5" s="13" t="s">
        <v>107</v>
      </c>
      <c r="I5" s="13" t="s">
        <v>108</v>
      </c>
      <c r="J5" s="13" t="s">
        <v>109</v>
      </c>
      <c r="K5" s="13" t="s">
        <v>110</v>
      </c>
      <c r="L5" s="13" t="s">
        <v>111</v>
      </c>
      <c r="M5" s="13" t="s">
        <v>112</v>
      </c>
      <c r="N5" s="13" t="s">
        <v>113</v>
      </c>
      <c r="O5" s="13" t="s">
        <v>114</v>
      </c>
      <c r="P5" s="13" t="s">
        <v>115</v>
      </c>
      <c r="Q5" s="13" t="s">
        <v>116</v>
      </c>
      <c r="R5" s="13" t="s">
        <v>117</v>
      </c>
      <c r="S5" s="14" t="s">
        <v>118</v>
      </c>
      <c r="T5" s="13" t="s">
        <v>16</v>
      </c>
      <c r="U5" s="13"/>
    </row>
    <row r="6" customFormat="false" ht="99.95" hidden="false" customHeight="false" outlineLevel="0" collapsed="false">
      <c r="A6" s="12" t="s">
        <v>23</v>
      </c>
      <c r="B6" s="13" t="s">
        <v>24</v>
      </c>
      <c r="C6" s="13" t="s">
        <v>15</v>
      </c>
      <c r="D6" s="13" t="s">
        <v>119</v>
      </c>
      <c r="E6" s="13" t="s">
        <v>120</v>
      </c>
      <c r="F6" s="13" t="s">
        <v>121</v>
      </c>
      <c r="G6" s="13" t="s">
        <v>122</v>
      </c>
      <c r="H6" s="13" t="s">
        <v>123</v>
      </c>
      <c r="I6" s="13" t="s">
        <v>124</v>
      </c>
      <c r="J6" s="13" t="s">
        <v>125</v>
      </c>
      <c r="K6" s="13" t="s">
        <v>126</v>
      </c>
      <c r="L6" s="13" t="s">
        <v>127</v>
      </c>
      <c r="M6" s="13" t="s">
        <v>128</v>
      </c>
      <c r="N6" s="13" t="s">
        <v>129</v>
      </c>
      <c r="O6" s="13" t="s">
        <v>130</v>
      </c>
      <c r="P6" s="13" t="s">
        <v>131</v>
      </c>
      <c r="Q6" s="13" t="s">
        <v>132</v>
      </c>
      <c r="R6" s="13" t="s">
        <v>133</v>
      </c>
      <c r="S6" s="14" t="s">
        <v>134</v>
      </c>
      <c r="T6" s="13" t="s">
        <v>16</v>
      </c>
      <c r="U6" s="13"/>
    </row>
    <row r="7" customFormat="false" ht="99.95" hidden="false" customHeight="false" outlineLevel="0" collapsed="false">
      <c r="A7" s="12" t="s">
        <v>25</v>
      </c>
      <c r="B7" s="13" t="s">
        <v>26</v>
      </c>
      <c r="C7" s="13" t="s">
        <v>15</v>
      </c>
      <c r="D7" s="13" t="s">
        <v>135</v>
      </c>
      <c r="E7" s="13" t="s">
        <v>136</v>
      </c>
      <c r="F7" s="13" t="s">
        <v>137</v>
      </c>
      <c r="G7" s="13" t="s">
        <v>138</v>
      </c>
      <c r="H7" s="13" t="s">
        <v>139</v>
      </c>
      <c r="I7" s="13" t="s">
        <v>140</v>
      </c>
      <c r="J7" s="13" t="s">
        <v>141</v>
      </c>
      <c r="K7" s="13" t="s">
        <v>142</v>
      </c>
      <c r="L7" s="13" t="s">
        <v>143</v>
      </c>
      <c r="M7" s="13" t="s">
        <v>64</v>
      </c>
      <c r="N7" s="13" t="s">
        <v>144</v>
      </c>
      <c r="O7" s="13" t="s">
        <v>145</v>
      </c>
      <c r="P7" s="13" t="s">
        <v>146</v>
      </c>
      <c r="Q7" s="13" t="s">
        <v>147</v>
      </c>
      <c r="R7" s="13" t="s">
        <v>148</v>
      </c>
      <c r="S7" s="14" t="s">
        <v>149</v>
      </c>
      <c r="T7" s="13" t="s">
        <v>16</v>
      </c>
      <c r="U7" s="13"/>
    </row>
    <row r="8" customFormat="false" ht="117.9" hidden="false" customHeight="false" outlineLevel="0" collapsed="false">
      <c r="A8" s="12" t="s">
        <v>27</v>
      </c>
      <c r="B8" s="13" t="s">
        <v>28</v>
      </c>
      <c r="C8" s="13" t="s">
        <v>15</v>
      </c>
      <c r="D8" s="13" t="s">
        <v>150</v>
      </c>
      <c r="E8" s="13" t="s">
        <v>151</v>
      </c>
      <c r="F8" s="13" t="s">
        <v>152</v>
      </c>
      <c r="G8" s="13" t="s">
        <v>153</v>
      </c>
      <c r="H8" s="13" t="s">
        <v>151</v>
      </c>
      <c r="I8" s="13" t="s">
        <v>151</v>
      </c>
      <c r="J8" s="13" t="s">
        <v>151</v>
      </c>
      <c r="K8" s="13" t="s">
        <v>151</v>
      </c>
      <c r="L8" s="13" t="s">
        <v>151</v>
      </c>
      <c r="M8" s="13" t="s">
        <v>151</v>
      </c>
      <c r="N8" s="13" t="s">
        <v>154</v>
      </c>
      <c r="O8" s="13" t="s">
        <v>155</v>
      </c>
      <c r="P8" s="13" t="s">
        <v>156</v>
      </c>
      <c r="Q8" s="13" t="s">
        <v>157</v>
      </c>
      <c r="R8" s="13" t="s">
        <v>158</v>
      </c>
      <c r="S8" s="14" t="s">
        <v>159</v>
      </c>
      <c r="T8" s="13" t="s">
        <v>16</v>
      </c>
      <c r="U8" s="13"/>
    </row>
    <row r="9" customFormat="false" ht="91" hidden="false" customHeight="false" outlineLevel="0" collapsed="false">
      <c r="A9" s="12" t="s">
        <v>29</v>
      </c>
      <c r="B9" s="13" t="s">
        <v>30</v>
      </c>
      <c r="C9" s="13" t="s">
        <v>15</v>
      </c>
      <c r="D9" s="13" t="s">
        <v>160</v>
      </c>
      <c r="E9" s="13" t="s">
        <v>161</v>
      </c>
      <c r="F9" s="13" t="s">
        <v>162</v>
      </c>
      <c r="G9" s="13" t="s">
        <v>163</v>
      </c>
      <c r="H9" s="13" t="s">
        <v>164</v>
      </c>
      <c r="I9" s="13" t="s">
        <v>165</v>
      </c>
      <c r="J9" s="13" t="s">
        <v>166</v>
      </c>
      <c r="K9" s="13" t="s">
        <v>167</v>
      </c>
      <c r="L9" s="13" t="s">
        <v>168</v>
      </c>
      <c r="M9" s="13" t="s">
        <v>169</v>
      </c>
      <c r="N9" s="13" t="s">
        <v>170</v>
      </c>
      <c r="O9" s="13" t="s">
        <v>171</v>
      </c>
      <c r="P9" s="13" t="s">
        <v>172</v>
      </c>
      <c r="Q9" s="13" t="s">
        <v>173</v>
      </c>
      <c r="R9" s="13" t="s">
        <v>174</v>
      </c>
      <c r="S9" s="14" t="s">
        <v>175</v>
      </c>
      <c r="T9" s="13" t="s">
        <v>16</v>
      </c>
      <c r="U9" s="13"/>
    </row>
    <row r="10" customFormat="false" ht="99.95" hidden="false" customHeight="false" outlineLevel="0" collapsed="false">
      <c r="A10" s="12" t="s">
        <v>31</v>
      </c>
      <c r="B10" s="13" t="s">
        <v>32</v>
      </c>
      <c r="C10" s="13" t="s">
        <v>15</v>
      </c>
      <c r="D10" s="13" t="s">
        <v>176</v>
      </c>
      <c r="E10" s="13" t="s">
        <v>177</v>
      </c>
      <c r="F10" s="13" t="s">
        <v>178</v>
      </c>
      <c r="G10" s="13" t="s">
        <v>179</v>
      </c>
      <c r="H10" s="13" t="s">
        <v>180</v>
      </c>
      <c r="I10" s="13" t="s">
        <v>181</v>
      </c>
      <c r="J10" s="13" t="s">
        <v>182</v>
      </c>
      <c r="K10" s="13" t="s">
        <v>183</v>
      </c>
      <c r="L10" s="13" t="s">
        <v>184</v>
      </c>
      <c r="M10" s="13" t="s">
        <v>185</v>
      </c>
      <c r="N10" s="13" t="s">
        <v>186</v>
      </c>
      <c r="O10" s="13" t="s">
        <v>187</v>
      </c>
      <c r="P10" s="13" t="s">
        <v>188</v>
      </c>
      <c r="Q10" s="13" t="s">
        <v>189</v>
      </c>
      <c r="R10" s="13" t="s">
        <v>190</v>
      </c>
      <c r="S10" s="14" t="s">
        <v>191</v>
      </c>
      <c r="T10" s="13" t="s">
        <v>16</v>
      </c>
      <c r="U10" s="13"/>
    </row>
    <row r="11" customFormat="false" ht="91" hidden="false" customHeight="false" outlineLevel="0" collapsed="false">
      <c r="A11" s="12" t="s">
        <v>33</v>
      </c>
      <c r="B11" s="13" t="s">
        <v>34</v>
      </c>
      <c r="C11" s="13" t="s">
        <v>15</v>
      </c>
      <c r="D11" s="13" t="s">
        <v>192</v>
      </c>
      <c r="E11" s="13" t="s">
        <v>193</v>
      </c>
      <c r="F11" s="13" t="s">
        <v>194</v>
      </c>
      <c r="G11" s="13" t="s">
        <v>195</v>
      </c>
      <c r="H11" s="13" t="s">
        <v>196</v>
      </c>
      <c r="I11" s="13" t="s">
        <v>197</v>
      </c>
      <c r="J11" s="13" t="s">
        <v>198</v>
      </c>
      <c r="K11" s="13" t="s">
        <v>199</v>
      </c>
      <c r="L11" s="13" t="s">
        <v>200</v>
      </c>
      <c r="M11" s="13" t="s">
        <v>201</v>
      </c>
      <c r="N11" s="13" t="s">
        <v>202</v>
      </c>
      <c r="O11" s="13" t="s">
        <v>203</v>
      </c>
      <c r="P11" s="13" t="s">
        <v>204</v>
      </c>
      <c r="Q11" s="13" t="s">
        <v>205</v>
      </c>
      <c r="R11" s="13" t="s">
        <v>206</v>
      </c>
      <c r="S11" s="14" t="s">
        <v>207</v>
      </c>
      <c r="T11" s="13" t="s">
        <v>16</v>
      </c>
      <c r="U1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7" min="2" style="0" width="22"/>
    <col collapsed="false" customWidth="true" hidden="false" outlineLevel="0" max="18" min="18" style="0" width="14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2" min="21" style="0" width="12"/>
    <col collapsed="false" customWidth="true" hidden="false" outlineLevel="0" max="23" min="23" style="0" width="13"/>
    <col collapsed="false" customWidth="true" hidden="false" outlineLevel="0" max="24" min="24" style="0" width="16"/>
  </cols>
  <sheetData>
    <row r="1" customFormat="false" ht="45" hidden="false" customHeight="true" outlineLevel="0" collapsed="false">
      <c r="A1" s="11" t="s">
        <v>3</v>
      </c>
      <c r="B1" s="11" t="s">
        <v>4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208</v>
      </c>
      <c r="S1" s="11" t="s">
        <v>209</v>
      </c>
      <c r="T1" s="11" t="s">
        <v>210</v>
      </c>
      <c r="U1" s="11" t="s">
        <v>9</v>
      </c>
      <c r="V1" s="11" t="s">
        <v>10</v>
      </c>
      <c r="W1" s="11" t="s">
        <v>12</v>
      </c>
      <c r="X1" s="11" t="s">
        <v>11</v>
      </c>
    </row>
    <row r="2" customFormat="false" ht="15" hidden="false" customHeight="false" outlineLevel="0" collapsed="false">
      <c r="A2" s="4" t="s">
        <v>13</v>
      </c>
      <c r="B2" s="5" t="s">
        <v>14</v>
      </c>
      <c r="C2" s="5" t="n">
        <v>6</v>
      </c>
      <c r="D2" s="5" t="n">
        <v>7</v>
      </c>
      <c r="E2" s="5" t="n">
        <v>4</v>
      </c>
      <c r="F2" s="5" t="n">
        <v>9</v>
      </c>
      <c r="G2" s="5" t="n">
        <v>3</v>
      </c>
      <c r="H2" s="5" t="n">
        <v>6</v>
      </c>
      <c r="I2" s="5" t="n">
        <v>10</v>
      </c>
      <c r="J2" s="5" t="n">
        <v>10</v>
      </c>
      <c r="K2" s="5" t="n">
        <v>10</v>
      </c>
      <c r="L2" s="5" t="n">
        <v>10</v>
      </c>
      <c r="M2" s="5" t="n">
        <v>10</v>
      </c>
      <c r="N2" s="5" t="n">
        <v>6</v>
      </c>
      <c r="O2" s="5" t="n">
        <v>6</v>
      </c>
      <c r="P2" s="5" t="n">
        <v>10</v>
      </c>
      <c r="Q2" s="5" t="n">
        <v>2</v>
      </c>
      <c r="R2" s="4" t="n">
        <f aca="false">IFERROR(AVERAGE(C2:G2),"N/A")</f>
        <v>5.8</v>
      </c>
      <c r="S2" s="4" t="n">
        <f aca="false">IFERROR(AVERAGE(H2:L2),"N/A")</f>
        <v>9.2</v>
      </c>
      <c r="T2" s="4" t="n">
        <f aca="false">IFERROR(AVERAGE(M2:Q2),"N/A")</f>
        <v>6.8</v>
      </c>
      <c r="U2" s="4" t="n">
        <f aca="false">IF(ISNUMBER(S2),(R2*0.3333+S2*0.3333+T2*0.3334),"N/A")</f>
        <v>7.26662</v>
      </c>
      <c r="V2" s="15" t="str">
        <f aca="false">IF(NOT(ISNUMBER(U2)),"NO ACTION",IF(U2&gt;=7,"BUY",IF(U2&gt;=4,"HOLD","SELL")))</f>
        <v>BUY</v>
      </c>
      <c r="W2" s="5" t="s">
        <v>16</v>
      </c>
      <c r="X2" s="5"/>
    </row>
    <row r="3" customFormat="false" ht="15" hidden="false" customHeight="false" outlineLevel="0" collapsed="false">
      <c r="A3" s="4" t="s">
        <v>17</v>
      </c>
      <c r="B3" s="5" t="s">
        <v>18</v>
      </c>
      <c r="C3" s="5" t="n">
        <v>5</v>
      </c>
      <c r="D3" s="5" t="n">
        <v>5</v>
      </c>
      <c r="E3" s="5" t="n">
        <v>6</v>
      </c>
      <c r="F3" s="5" t="n">
        <v>7</v>
      </c>
      <c r="G3" s="5" t="n">
        <v>8</v>
      </c>
      <c r="H3" s="5" t="n">
        <v>4</v>
      </c>
      <c r="I3" s="5" t="n">
        <v>7</v>
      </c>
      <c r="J3" s="5" t="n">
        <v>9</v>
      </c>
      <c r="K3" s="5" t="n">
        <v>7</v>
      </c>
      <c r="L3" s="5" t="n">
        <v>6</v>
      </c>
      <c r="M3" s="5" t="n">
        <v>8</v>
      </c>
      <c r="N3" s="5" t="n">
        <v>4</v>
      </c>
      <c r="O3" s="5" t="n">
        <v>5</v>
      </c>
      <c r="P3" s="5" t="n">
        <v>10</v>
      </c>
      <c r="Q3" s="5" t="n">
        <v>4</v>
      </c>
      <c r="R3" s="4" t="n">
        <f aca="false">IFERROR(AVERAGE(C3:G3),"N/A")</f>
        <v>6.2</v>
      </c>
      <c r="S3" s="4" t="n">
        <f aca="false">IFERROR(AVERAGE(H3:L3),"N/A")</f>
        <v>6.6</v>
      </c>
      <c r="T3" s="4" t="n">
        <f aca="false">IFERROR(AVERAGE(M3:Q3),"N/A")</f>
        <v>6.2</v>
      </c>
      <c r="U3" s="4" t="n">
        <f aca="false">IF(ISNUMBER(S3),(R3*0.3333+S3*0.3333+T3*0.3334),"N/A")</f>
        <v>6.33332</v>
      </c>
      <c r="V3" s="15" t="str">
        <f aca="false">IF(NOT(ISNUMBER(U3)),"NO ACTION",IF(U3&gt;=7,"BUY",IF(U3&gt;=4,"HOLD","SELL")))</f>
        <v>HOLD</v>
      </c>
      <c r="W3" s="5" t="s">
        <v>16</v>
      </c>
      <c r="X3" s="5"/>
    </row>
    <row r="4" customFormat="false" ht="15" hidden="false" customHeight="false" outlineLevel="0" collapsed="false">
      <c r="A4" s="4" t="s">
        <v>19</v>
      </c>
      <c r="B4" s="5" t="s">
        <v>20</v>
      </c>
      <c r="C4" s="5" t="n">
        <v>5</v>
      </c>
      <c r="D4" s="5" t="n">
        <v>4</v>
      </c>
      <c r="E4" s="5" t="n">
        <v>5</v>
      </c>
      <c r="F4" s="5" t="n">
        <v>5</v>
      </c>
      <c r="G4" s="5" t="n">
        <v>5</v>
      </c>
      <c r="H4" s="5" t="n">
        <v>10</v>
      </c>
      <c r="I4" s="5" t="n">
        <v>8</v>
      </c>
      <c r="J4" s="5" t="n">
        <v>10</v>
      </c>
      <c r="K4" s="5" t="n">
        <v>7</v>
      </c>
      <c r="L4" s="5" t="n">
        <v>10</v>
      </c>
      <c r="M4" s="5" t="n">
        <v>10</v>
      </c>
      <c r="N4" s="5" t="n">
        <v>7</v>
      </c>
      <c r="O4" s="5" t="n">
        <v>9</v>
      </c>
      <c r="P4" s="5" t="n">
        <v>10</v>
      </c>
      <c r="Q4" s="5" t="n">
        <v>5</v>
      </c>
      <c r="R4" s="4" t="n">
        <f aca="false">IFERROR(AVERAGE(C4:G4),"N/A")</f>
        <v>4.8</v>
      </c>
      <c r="S4" s="4" t="n">
        <f aca="false">IFERROR(AVERAGE(H4:L4),"N/A")</f>
        <v>9</v>
      </c>
      <c r="T4" s="4" t="n">
        <f aca="false">IFERROR(AVERAGE(M4:Q4),"N/A")</f>
        <v>8.2</v>
      </c>
      <c r="U4" s="4" t="n">
        <f aca="false">IF(ISNUMBER(S4),(R4*0.3333+S4*0.3333+T4*0.3334),"N/A")</f>
        <v>7.33342</v>
      </c>
      <c r="V4" s="15" t="str">
        <f aca="false">IF(NOT(ISNUMBER(U4)),"NO ACTION",IF(U4&gt;=7,"BUY",IF(U4&gt;=4,"HOLD","SELL")))</f>
        <v>BUY</v>
      </c>
      <c r="W4" s="5" t="s">
        <v>16</v>
      </c>
      <c r="X4" s="5"/>
    </row>
    <row r="5" customFormat="false" ht="15" hidden="false" customHeight="false" outlineLevel="0" collapsed="false">
      <c r="A5" s="4" t="s">
        <v>21</v>
      </c>
      <c r="B5" s="5" t="s">
        <v>22</v>
      </c>
      <c r="C5" s="5" t="n">
        <v>5</v>
      </c>
      <c r="D5" s="5" t="n">
        <v>6</v>
      </c>
      <c r="E5" s="5" t="n">
        <v>6</v>
      </c>
      <c r="F5" s="5" t="n">
        <v>9</v>
      </c>
      <c r="G5" s="5" t="n">
        <v>8</v>
      </c>
      <c r="H5" s="5" t="n">
        <v>6</v>
      </c>
      <c r="I5" s="5" t="n">
        <v>8</v>
      </c>
      <c r="J5" s="5" t="n">
        <v>9</v>
      </c>
      <c r="K5" s="5" t="n">
        <v>10</v>
      </c>
      <c r="L5" s="5" t="n">
        <v>10</v>
      </c>
      <c r="M5" s="5" t="n">
        <v>10</v>
      </c>
      <c r="N5" s="5" t="n">
        <v>6</v>
      </c>
      <c r="O5" s="5" t="n">
        <v>5</v>
      </c>
      <c r="P5" s="5" t="n">
        <v>10</v>
      </c>
      <c r="Q5" s="5" t="n">
        <v>3</v>
      </c>
      <c r="R5" s="4" t="n">
        <f aca="false">IFERROR(AVERAGE(C5:G5),"N/A")</f>
        <v>6.8</v>
      </c>
      <c r="S5" s="4" t="n">
        <f aca="false">IFERROR(AVERAGE(H5:L5),"N/A")</f>
        <v>8.6</v>
      </c>
      <c r="T5" s="4" t="n">
        <f aca="false">IFERROR(AVERAGE(M5:Q5),"N/A")</f>
        <v>6.8</v>
      </c>
      <c r="U5" s="4" t="n">
        <f aca="false">IF(ISNUMBER(S5),(R5*0.3333+S5*0.3333+T5*0.3334),"N/A")</f>
        <v>7.39994</v>
      </c>
      <c r="V5" s="15" t="str">
        <f aca="false">IF(NOT(ISNUMBER(U5)),"NO ACTION",IF(U5&gt;=7,"BUY",IF(U5&gt;=4,"HOLD","SELL")))</f>
        <v>BUY</v>
      </c>
      <c r="W5" s="5" t="s">
        <v>16</v>
      </c>
      <c r="X5" s="5"/>
    </row>
    <row r="6" customFormat="false" ht="15" hidden="false" customHeight="false" outlineLevel="0" collapsed="false">
      <c r="A6" s="4" t="s">
        <v>23</v>
      </c>
      <c r="B6" s="5" t="s">
        <v>24</v>
      </c>
      <c r="C6" s="5" t="n">
        <v>6</v>
      </c>
      <c r="D6" s="5" t="n">
        <v>5</v>
      </c>
      <c r="E6" s="5" t="n">
        <v>5</v>
      </c>
      <c r="F6" s="5" t="n">
        <v>7</v>
      </c>
      <c r="G6" s="5" t="n">
        <v>5</v>
      </c>
      <c r="H6" s="5" t="n">
        <v>8</v>
      </c>
      <c r="I6" s="5" t="n">
        <v>8</v>
      </c>
      <c r="J6" s="5" t="n">
        <v>10</v>
      </c>
      <c r="K6" s="5" t="n">
        <v>5</v>
      </c>
      <c r="L6" s="5" t="n">
        <v>7</v>
      </c>
      <c r="M6" s="5" t="n">
        <v>10</v>
      </c>
      <c r="N6" s="5" t="n">
        <v>7</v>
      </c>
      <c r="O6" s="5" t="n">
        <v>8</v>
      </c>
      <c r="P6" s="5" t="n">
        <v>10</v>
      </c>
      <c r="Q6" s="5" t="n">
        <v>3</v>
      </c>
      <c r="R6" s="4" t="n">
        <f aca="false">IFERROR(AVERAGE(C6:G6),"N/A")</f>
        <v>5.6</v>
      </c>
      <c r="S6" s="4" t="n">
        <f aca="false">IFERROR(AVERAGE(H6:L6),"N/A")</f>
        <v>7.6</v>
      </c>
      <c r="T6" s="4" t="n">
        <f aca="false">IFERROR(AVERAGE(M6:Q6),"N/A")</f>
        <v>7.6</v>
      </c>
      <c r="U6" s="4" t="n">
        <f aca="false">IF(ISNUMBER(S6),(R6*0.3333+S6*0.3333+T6*0.3334),"N/A")</f>
        <v>6.9334</v>
      </c>
      <c r="V6" s="15" t="str">
        <f aca="false">IF(NOT(ISNUMBER(U6)),"NO ACTION",IF(U6&gt;=7,"BUY",IF(U6&gt;=4,"HOLD","SELL")))</f>
        <v>HOLD</v>
      </c>
      <c r="W6" s="5" t="s">
        <v>16</v>
      </c>
      <c r="X6" s="5"/>
    </row>
    <row r="7" customFormat="false" ht="15" hidden="false" customHeight="false" outlineLevel="0" collapsed="false">
      <c r="A7" s="4" t="s">
        <v>25</v>
      </c>
      <c r="B7" s="5" t="s">
        <v>26</v>
      </c>
      <c r="C7" s="5" t="n">
        <v>7</v>
      </c>
      <c r="D7" s="5" t="n">
        <v>6</v>
      </c>
      <c r="E7" s="5" t="n">
        <v>2</v>
      </c>
      <c r="F7" s="5" t="n">
        <v>5</v>
      </c>
      <c r="G7" s="5" t="n">
        <v>5</v>
      </c>
      <c r="H7" s="5" t="n">
        <v>6</v>
      </c>
      <c r="I7" s="5" t="n">
        <v>10</v>
      </c>
      <c r="J7" s="5" t="n">
        <v>10</v>
      </c>
      <c r="K7" s="5" t="n">
        <v>10</v>
      </c>
      <c r="L7" s="5" t="n">
        <v>10</v>
      </c>
      <c r="M7" s="5" t="n">
        <v>10</v>
      </c>
      <c r="N7" s="5" t="n">
        <v>8</v>
      </c>
      <c r="O7" s="5" t="n">
        <v>7</v>
      </c>
      <c r="P7" s="5" t="n">
        <v>10</v>
      </c>
      <c r="Q7" s="5" t="n">
        <v>7</v>
      </c>
      <c r="R7" s="4" t="n">
        <f aca="false">IFERROR(AVERAGE(C7:G7),"N/A")</f>
        <v>5</v>
      </c>
      <c r="S7" s="4" t="n">
        <f aca="false">IFERROR(AVERAGE(H7:L7),"N/A")</f>
        <v>9.2</v>
      </c>
      <c r="T7" s="4" t="n">
        <f aca="false">IFERROR(AVERAGE(M7:Q7),"N/A")</f>
        <v>8.4</v>
      </c>
      <c r="U7" s="4" t="n">
        <f aca="false">IF(ISNUMBER(S7),(R7*0.3333+S7*0.3333+T7*0.3334),"N/A")</f>
        <v>7.53342</v>
      </c>
      <c r="V7" s="15" t="str">
        <f aca="false">IF(NOT(ISNUMBER(U7)),"NO ACTION",IF(U7&gt;=7,"BUY",IF(U7&gt;=4,"HOLD","SELL")))</f>
        <v>BUY</v>
      </c>
      <c r="W7" s="5" t="s">
        <v>16</v>
      </c>
      <c r="X7" s="5"/>
    </row>
    <row r="8" customFormat="false" ht="15" hidden="false" customHeight="false" outlineLevel="0" collapsed="false">
      <c r="A8" s="4" t="s">
        <v>27</v>
      </c>
      <c r="B8" s="5" t="s">
        <v>28</v>
      </c>
      <c r="C8" s="5" t="n">
        <v>7</v>
      </c>
      <c r="D8" s="5"/>
      <c r="E8" s="5" t="n">
        <v>5</v>
      </c>
      <c r="F8" s="5" t="n">
        <v>5</v>
      </c>
      <c r="G8" s="5"/>
      <c r="H8" s="5"/>
      <c r="I8" s="5"/>
      <c r="J8" s="5"/>
      <c r="K8" s="5"/>
      <c r="L8" s="5"/>
      <c r="M8" s="5" t="n">
        <v>6</v>
      </c>
      <c r="N8" s="5" t="n">
        <v>7</v>
      </c>
      <c r="O8" s="5" t="n">
        <v>5</v>
      </c>
      <c r="P8" s="5" t="n">
        <v>1</v>
      </c>
      <c r="Q8" s="5" t="n">
        <v>5</v>
      </c>
      <c r="R8" s="4" t="n">
        <f aca="false">IFERROR(AVERAGE(C8:G8),"N/A")</f>
        <v>5.66666666666667</v>
      </c>
      <c r="S8" s="4" t="str">
        <f aca="false">IFERROR(AVERAGE(H8:L8),"N/A")</f>
        <v>N/A</v>
      </c>
      <c r="T8" s="4" t="n">
        <f aca="false">IFERROR(AVERAGE(M8:Q8),"N/A")</f>
        <v>4.8</v>
      </c>
      <c r="U8" s="4" t="str">
        <f aca="false">IF(ISNUMBER(S8),(R8*0.3333+S8*0.3333+T8*0.3334),"N/A")</f>
        <v>N/A</v>
      </c>
      <c r="V8" s="15" t="s">
        <v>211</v>
      </c>
      <c r="W8" s="5" t="s">
        <v>16</v>
      </c>
      <c r="X8" s="5"/>
    </row>
    <row r="9" customFormat="false" ht="15" hidden="false" customHeight="false" outlineLevel="0" collapsed="false">
      <c r="A9" s="4" t="s">
        <v>29</v>
      </c>
      <c r="B9" s="5" t="s">
        <v>30</v>
      </c>
      <c r="C9" s="5" t="n">
        <v>5</v>
      </c>
      <c r="D9" s="5" t="n">
        <v>3</v>
      </c>
      <c r="E9" s="5" t="n">
        <v>5</v>
      </c>
      <c r="F9" s="5" t="n">
        <v>5</v>
      </c>
      <c r="G9" s="5" t="n">
        <v>5</v>
      </c>
      <c r="H9" s="5" t="n">
        <v>3</v>
      </c>
      <c r="I9" s="5" t="n">
        <v>10</v>
      </c>
      <c r="J9" s="5" t="n">
        <v>10</v>
      </c>
      <c r="K9" s="5" t="n">
        <v>10</v>
      </c>
      <c r="L9" s="5" t="n">
        <v>7</v>
      </c>
      <c r="M9" s="5" t="n">
        <v>10</v>
      </c>
      <c r="N9" s="5" t="n">
        <v>8</v>
      </c>
      <c r="O9" s="5" t="n">
        <v>5</v>
      </c>
      <c r="P9" s="5" t="n">
        <v>10</v>
      </c>
      <c r="Q9" s="5" t="n">
        <v>3</v>
      </c>
      <c r="R9" s="4" t="n">
        <f aca="false">IFERROR(AVERAGE(C9:G9),"N/A")</f>
        <v>4.6</v>
      </c>
      <c r="S9" s="4" t="n">
        <f aca="false">IFERROR(AVERAGE(H9:L9),"N/A")</f>
        <v>8</v>
      </c>
      <c r="T9" s="4" t="n">
        <f aca="false">IFERROR(AVERAGE(M9:Q9),"N/A")</f>
        <v>7.2</v>
      </c>
      <c r="U9" s="4" t="n">
        <f aca="false">IF(ISNUMBER(S9),(R9*0.3333+S9*0.3333+T9*0.3334),"N/A")</f>
        <v>6.60006</v>
      </c>
      <c r="V9" s="15" t="str">
        <f aca="false">IF(NOT(ISNUMBER(U9)),"NO ACTION",IF(U9&gt;=7,"BUY",IF(U9&gt;=4,"HOLD","SELL")))</f>
        <v>HOLD</v>
      </c>
      <c r="W9" s="5" t="s">
        <v>16</v>
      </c>
      <c r="X9" s="5"/>
    </row>
    <row r="10" customFormat="false" ht="15" hidden="false" customHeight="false" outlineLevel="0" collapsed="false">
      <c r="A10" s="4" t="s">
        <v>31</v>
      </c>
      <c r="B10" s="5" t="s">
        <v>32</v>
      </c>
      <c r="C10" s="5" t="n">
        <v>7</v>
      </c>
      <c r="D10" s="5" t="n">
        <v>7</v>
      </c>
      <c r="E10" s="5" t="n">
        <v>3</v>
      </c>
      <c r="F10" s="5" t="n">
        <v>7</v>
      </c>
      <c r="G10" s="5" t="n">
        <v>5</v>
      </c>
      <c r="H10" s="5" t="n">
        <v>8</v>
      </c>
      <c r="I10" s="5" t="n">
        <v>9</v>
      </c>
      <c r="J10" s="5" t="n">
        <v>1</v>
      </c>
      <c r="K10" s="5" t="n">
        <v>10</v>
      </c>
      <c r="L10" s="5" t="n">
        <v>7</v>
      </c>
      <c r="M10" s="5" t="n">
        <v>10</v>
      </c>
      <c r="N10" s="5" t="n">
        <v>6</v>
      </c>
      <c r="O10" s="5" t="n">
        <v>5</v>
      </c>
      <c r="P10" s="5" t="n">
        <v>10</v>
      </c>
      <c r="Q10" s="5" t="n">
        <v>3</v>
      </c>
      <c r="R10" s="4" t="n">
        <f aca="false">IFERROR(AVERAGE(C10:G10),"N/A")</f>
        <v>5.8</v>
      </c>
      <c r="S10" s="4" t="n">
        <f aca="false">IFERROR(AVERAGE(H10:L10),"N/A")</f>
        <v>7</v>
      </c>
      <c r="T10" s="4" t="n">
        <f aca="false">IFERROR(AVERAGE(M10:Q10),"N/A")</f>
        <v>6.8</v>
      </c>
      <c r="U10" s="4" t="n">
        <f aca="false">IF(ISNUMBER(S10),(R10*0.3333+S10*0.3333+T10*0.3334),"N/A")</f>
        <v>6.53336</v>
      </c>
      <c r="V10" s="15" t="str">
        <f aca="false">IF(NOT(ISNUMBER(U10)),"NO ACTION",IF(U10&gt;=7,"BUY",IF(U10&gt;=4,"HOLD","SELL")))</f>
        <v>HOLD</v>
      </c>
      <c r="W10" s="5" t="s">
        <v>16</v>
      </c>
      <c r="X10" s="5"/>
    </row>
    <row r="11" customFormat="false" ht="15" hidden="false" customHeight="false" outlineLevel="0" collapsed="false">
      <c r="A11" s="4" t="s">
        <v>33</v>
      </c>
      <c r="B11" s="5" t="s">
        <v>34</v>
      </c>
      <c r="C11" s="5" t="n">
        <v>5</v>
      </c>
      <c r="D11" s="5" t="n">
        <v>6</v>
      </c>
      <c r="E11" s="5" t="n">
        <v>6</v>
      </c>
      <c r="F11" s="5" t="n">
        <v>3</v>
      </c>
      <c r="G11" s="5" t="n">
        <v>3</v>
      </c>
      <c r="H11" s="5" t="n">
        <v>0</v>
      </c>
      <c r="I11" s="5" t="n">
        <v>9</v>
      </c>
      <c r="J11" s="5" t="n">
        <v>1</v>
      </c>
      <c r="K11" s="5" t="n">
        <v>2</v>
      </c>
      <c r="L11" s="5" t="n">
        <v>10</v>
      </c>
      <c r="M11" s="5" t="n">
        <v>7</v>
      </c>
      <c r="N11" s="5" t="n">
        <v>5</v>
      </c>
      <c r="O11" s="5" t="n">
        <v>6</v>
      </c>
      <c r="P11" s="5" t="n">
        <v>7</v>
      </c>
      <c r="Q11" s="5" t="n">
        <v>3</v>
      </c>
      <c r="R11" s="4" t="n">
        <f aca="false">IFERROR(AVERAGE(C11:G11),"N/A")</f>
        <v>4.6</v>
      </c>
      <c r="S11" s="4" t="n">
        <f aca="false">IFERROR(AVERAGE(H11:L11),"N/A")</f>
        <v>4.4</v>
      </c>
      <c r="T11" s="4" t="n">
        <f aca="false">IFERROR(AVERAGE(M11:Q11),"N/A")</f>
        <v>5.6</v>
      </c>
      <c r="U11" s="4" t="n">
        <f aca="false">IF(ISNUMBER(S11),(R11*0.3333+S11*0.3333+T11*0.3334),"N/A")</f>
        <v>4.86674</v>
      </c>
      <c r="V11" s="15" t="str">
        <f aca="false">IF(NOT(ISNUMBER(U11)),"NO ACTION",IF(U11&gt;=7,"BUY",IF(U11&gt;=4,"HOLD","SELL")))</f>
        <v>HOLD</v>
      </c>
      <c r="W11" s="5" t="s">
        <v>16</v>
      </c>
      <c r="X1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2026-09-06T16:39:53Z</dcterms:created>
  <dc:creator>openpyxl</dc:creator>
  <dc:description/>
  <dc:language>en-US</dc:language>
  <cp:lastModifiedBy/>
  <dcterms:modified xsi:type="dcterms:W3CDTF">2026-09-06T16:39:53Z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